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meroa\Desktop\Plan PAT EGE Haina\"/>
    </mc:Choice>
  </mc:AlternateContent>
  <xr:revisionPtr revIDLastSave="0" documentId="13_ncr:1_{983D23FD-570A-4ED2-B818-ACA0446FE6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mpaña" sheetId="1" r:id="rId1"/>
    <sheet name="Mediciones" sheetId="2" r:id="rId2"/>
    <sheet name="Contro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B9" i="3"/>
  <c r="B12" i="3" s="1"/>
  <c r="B8" i="3"/>
  <c r="B7" i="3"/>
  <c r="B6" i="3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</calcChain>
</file>

<file path=xl/sharedStrings.xml><?xml version="1.0" encoding="utf-8"?>
<sst xmlns="http://schemas.openxmlformats.org/spreadsheetml/2006/main" count="506" uniqueCount="190">
  <si>
    <t>MATRIZ DE CONTROL — CAMPAÑA DE MEDICIONES P.A.T.</t>
  </si>
  <si>
    <t>Completar esta hoja antes de redactar el informe. Las celdas azules son datos de entrada.</t>
  </si>
  <si>
    <t>Planta / instalación</t>
  </si>
  <si>
    <t>[[COMPLETAR]]</t>
  </si>
  <si>
    <t>Reglas de uso</t>
  </si>
  <si>
    <t>Área / alcance de campaña</t>
  </si>
  <si>
    <t>1. Un ID por punto medido.</t>
  </si>
  <si>
    <t>Código de informe</t>
  </si>
  <si>
    <t>2. Foto legible + foto de ubicación/configuración cuando aplique.</t>
  </si>
  <si>
    <t>Revisión</t>
  </si>
  <si>
    <t>[[00]]</t>
  </si>
  <si>
    <t>3. La tabla del informe se alimenta solo de filas confirmadas.</t>
  </si>
  <si>
    <t>Fecha de campaña</t>
  </si>
  <si>
    <t>4. Las lecturas no concluyentes no se califican como conformes.</t>
  </si>
  <si>
    <t>Fecha de emisión</t>
  </si>
  <si>
    <t>5. El criterio debe ser específico y trazable.</t>
  </si>
  <si>
    <t>Personal participante</t>
  </si>
  <si>
    <t>6. Ajustar el alcance antes de emitir.</t>
  </si>
  <si>
    <t>Condición de suelo / clima</t>
  </si>
  <si>
    <t>7. Usar nombres de foto que incluyan el ID.</t>
  </si>
  <si>
    <t>Equipo de medición</t>
  </si>
  <si>
    <t>Fluke 1625-2 GEO / [[SERIE]]</t>
  </si>
  <si>
    <t>8. Revisar la pestaña Control antes de cierre.</t>
  </si>
  <si>
    <t>Certificado / vigencia</t>
  </si>
  <si>
    <t>Método predominante</t>
  </si>
  <si>
    <t>Criterio(s) aplicable(s) y fuente</t>
  </si>
  <si>
    <t>[[DOCUMENTO / EDICIÓN / CLÁUSULA / VALOR]]</t>
  </si>
  <si>
    <t>Observaciones generales</t>
  </si>
  <si>
    <t>REGISTRO DE MEDICIONES Y EVIDENCIAS</t>
  </si>
  <si>
    <t>Usar una fila por punto. No modificar las columnas “Estado de datos” ni “Resultado preliminar”; se calculan a partir de los campos de entrada.</t>
  </si>
  <si>
    <t>ID punto</t>
  </si>
  <si>
    <t>Activo / electrodo</t>
  </si>
  <si>
    <t>Ubicación</t>
  </si>
  <si>
    <t>Método</t>
  </si>
  <si>
    <t>Lectura R (Ω)</t>
  </si>
  <si>
    <t>Criterio (Ω)</t>
  </si>
  <si>
    <t>Fuente del criterio</t>
  </si>
  <si>
    <t>Foto de lectura</t>
  </si>
  <si>
    <t>Foto ubicación / configuración</t>
  </si>
  <si>
    <t>Lectura legible</t>
  </si>
  <si>
    <t>Método válido</t>
  </si>
  <si>
    <t>Observaciones</t>
  </si>
  <si>
    <t>Estado de datos</t>
  </si>
  <si>
    <t>[[01]]</t>
  </si>
  <si>
    <t>[[DESCRIPCIÓN]]</t>
  </si>
  <si>
    <t>[[UBICACIÓN]]</t>
  </si>
  <si>
    <t>[[MÉTODO]]</t>
  </si>
  <si>
    <t>[[DOCUMENTO / CLÁUSULA]]</t>
  </si>
  <si>
    <t>[[P01_lectura.jpg]]</t>
  </si>
  <si>
    <t>[[P01_config.jpg]]</t>
  </si>
  <si>
    <t>No</t>
  </si>
  <si>
    <t>Pendiente</t>
  </si>
  <si>
    <t>[[OBSERVACIÓN]]</t>
  </si>
  <si>
    <t>[[02]]</t>
  </si>
  <si>
    <t>[[P02_lectura.jpg]]</t>
  </si>
  <si>
    <t>[[P02_config.jpg]]</t>
  </si>
  <si>
    <t>[[03]]</t>
  </si>
  <si>
    <t>[[P03_lectura.jpg]]</t>
  </si>
  <si>
    <t>[[P03_config.jpg]]</t>
  </si>
  <si>
    <t>[[04]]</t>
  </si>
  <si>
    <t>[[P04_lectura.jpg]]</t>
  </si>
  <si>
    <t>[[P04_config.jpg]]</t>
  </si>
  <si>
    <t>[[05]]</t>
  </si>
  <si>
    <t>[[P05_lectura.jpg]]</t>
  </si>
  <si>
    <t>[[P05_config.jpg]]</t>
  </si>
  <si>
    <t>[[06]]</t>
  </si>
  <si>
    <t>[[P06_lectura.jpg]]</t>
  </si>
  <si>
    <t>[[P06_config.jpg]]</t>
  </si>
  <si>
    <t>[[07]]</t>
  </si>
  <si>
    <t>[[P07_lectura.jpg]]</t>
  </si>
  <si>
    <t>[[P07_config.jpg]]</t>
  </si>
  <si>
    <t>[[08]]</t>
  </si>
  <si>
    <t>[[P08_lectura.jpg]]</t>
  </si>
  <si>
    <t>[[P08_config.jpg]]</t>
  </si>
  <si>
    <t>[[09]]</t>
  </si>
  <si>
    <t>[[P09_lectura.jpg]]</t>
  </si>
  <si>
    <t>[[P09_config.jpg]]</t>
  </si>
  <si>
    <t>[[10]]</t>
  </si>
  <si>
    <t>[[P10_lectura.jpg]]</t>
  </si>
  <si>
    <t>[[P10_config.jpg]]</t>
  </si>
  <si>
    <t>[[11]]</t>
  </si>
  <si>
    <t>[[P11_lectura.jpg]]</t>
  </si>
  <si>
    <t>[[P11_config.jpg]]</t>
  </si>
  <si>
    <t>[[12]]</t>
  </si>
  <si>
    <t>[[P12_lectura.jpg]]</t>
  </si>
  <si>
    <t>[[P12_config.jpg]]</t>
  </si>
  <si>
    <t>[[13]]</t>
  </si>
  <si>
    <t>[[P13_lectura.jpg]]</t>
  </si>
  <si>
    <t>[[P13_config.jpg]]</t>
  </si>
  <si>
    <t>[[14]]</t>
  </si>
  <si>
    <t>[[P14_lectura.jpg]]</t>
  </si>
  <si>
    <t>[[P14_config.jpg]]</t>
  </si>
  <si>
    <t>[[15]]</t>
  </si>
  <si>
    <t>[[P15_lectura.jpg]]</t>
  </si>
  <si>
    <t>[[P15_config.jpg]]</t>
  </si>
  <si>
    <t>[[16]]</t>
  </si>
  <si>
    <t>[[P16_lectura.jpg]]</t>
  </si>
  <si>
    <t>[[P16_config.jpg]]</t>
  </si>
  <si>
    <t>[[17]]</t>
  </si>
  <si>
    <t>[[P17_lectura.jpg]]</t>
  </si>
  <si>
    <t>[[P17_config.jpg]]</t>
  </si>
  <si>
    <t>[[18]]</t>
  </si>
  <si>
    <t>[[P18_lectura.jpg]]</t>
  </si>
  <si>
    <t>[[P18_config.jpg]]</t>
  </si>
  <si>
    <t>[[19]]</t>
  </si>
  <si>
    <t>[[P19_lectura.jpg]]</t>
  </si>
  <si>
    <t>[[P19_config.jpg]]</t>
  </si>
  <si>
    <t>[[20]]</t>
  </si>
  <si>
    <t>[[P20_lectura.jpg]]</t>
  </si>
  <si>
    <t>[[P20_config.jpg]]</t>
  </si>
  <si>
    <t>[[21]]</t>
  </si>
  <si>
    <t>[[P21_lectura.jpg]]</t>
  </si>
  <si>
    <t>[[P21_config.jpg]]</t>
  </si>
  <si>
    <t>[[22]]</t>
  </si>
  <si>
    <t>[[P22_lectura.jpg]]</t>
  </si>
  <si>
    <t>[[P22_config.jpg]]</t>
  </si>
  <si>
    <t>[[23]]</t>
  </si>
  <si>
    <t>[[P23_lectura.jpg]]</t>
  </si>
  <si>
    <t>[[P23_config.jpg]]</t>
  </si>
  <si>
    <t>[[24]]</t>
  </si>
  <si>
    <t>[[P24_lectura.jpg]]</t>
  </si>
  <si>
    <t>[[P24_config.jpg]]</t>
  </si>
  <si>
    <t>[[25]]</t>
  </si>
  <si>
    <t>[[P25_lectura.jpg]]</t>
  </si>
  <si>
    <t>[[P25_config.jpg]]</t>
  </si>
  <si>
    <t>[[26]]</t>
  </si>
  <si>
    <t>[[P26_lectura.jpg]]</t>
  </si>
  <si>
    <t>[[P26_config.jpg]]</t>
  </si>
  <si>
    <t>[[27]]</t>
  </si>
  <si>
    <t>[[P27_lectura.jpg]]</t>
  </si>
  <si>
    <t>[[P27_config.jpg]]</t>
  </si>
  <si>
    <t>[[28]]</t>
  </si>
  <si>
    <t>[[P28_lectura.jpg]]</t>
  </si>
  <si>
    <t>[[P28_config.jpg]]</t>
  </si>
  <si>
    <t>[[29]]</t>
  </si>
  <si>
    <t>[[P29_lectura.jpg]]</t>
  </si>
  <si>
    <t>[[P29_config.jpg]]</t>
  </si>
  <si>
    <t>[[30]]</t>
  </si>
  <si>
    <t>[[P30_lectura.jpg]]</t>
  </si>
  <si>
    <t>[[P30_config.jpg]]</t>
  </si>
  <si>
    <t>[[31]]</t>
  </si>
  <si>
    <t>[[P31_lectura.jpg]]</t>
  </si>
  <si>
    <t>[[P31_config.jpg]]</t>
  </si>
  <si>
    <t>[[32]]</t>
  </si>
  <si>
    <t>[[P32_lectura.jpg]]</t>
  </si>
  <si>
    <t>[[P32_config.jpg]]</t>
  </si>
  <si>
    <t>[[33]]</t>
  </si>
  <si>
    <t>[[P33_lectura.jpg]]</t>
  </si>
  <si>
    <t>[[P33_config.jpg]]</t>
  </si>
  <si>
    <t>[[34]]</t>
  </si>
  <si>
    <t>[[P34_lectura.jpg]]</t>
  </si>
  <si>
    <t>[[P34_config.jpg]]</t>
  </si>
  <si>
    <t>[[35]]</t>
  </si>
  <si>
    <t>[[P35_lectura.jpg]]</t>
  </si>
  <si>
    <t>[[P35_config.jpg]]</t>
  </si>
  <si>
    <t>[[36]]</t>
  </si>
  <si>
    <t>[[P36_lectura.jpg]]</t>
  </si>
  <si>
    <t>[[P36_config.jpg]]</t>
  </si>
  <si>
    <t>[[37]]</t>
  </si>
  <si>
    <t>[[P37_lectura.jpg]]</t>
  </si>
  <si>
    <t>[[P37_config.jpg]]</t>
  </si>
  <si>
    <t>[[38]]</t>
  </si>
  <si>
    <t>[[P38_lectura.jpg]]</t>
  </si>
  <si>
    <t>[[P38_config.jpg]]</t>
  </si>
  <si>
    <t>[[39]]</t>
  </si>
  <si>
    <t>[[P39_lectura.jpg]]</t>
  </si>
  <si>
    <t>[[P39_config.jpg]]</t>
  </si>
  <si>
    <t>[[40]]</t>
  </si>
  <si>
    <t>[[P40_lectura.jpg]]</t>
  </si>
  <si>
    <t>[[P40_config.jpg]]</t>
  </si>
  <si>
    <t>CONTROL DE CALIDAD PREVIO A EMISIÓN</t>
  </si>
  <si>
    <t>La emisión queda bloqueada si persisten pendientes o si los elementos de trazabilidad no están completos.</t>
  </si>
  <si>
    <t>Indicador</t>
  </si>
  <si>
    <t>Valor</t>
  </si>
  <si>
    <t>Lista de cierre</t>
  </si>
  <si>
    <t>Filas con lectura cargada</t>
  </si>
  <si>
    <t>☐ Metadatos de campaña completos.</t>
  </si>
  <si>
    <t>Filas conformes</t>
  </si>
  <si>
    <t>☐ Alcance reconciliado con IDs.</t>
  </si>
  <si>
    <t>Filas por revisar</t>
  </si>
  <si>
    <t>☐ Fotos y lectura identificadas.</t>
  </si>
  <si>
    <t>Filas pendientes</t>
  </si>
  <si>
    <t>☐ Método y condiciones de validez documentados.</t>
  </si>
  <si>
    <t>Promedio de lecturas válidas</t>
  </si>
  <si>
    <t>☐ Criterio y fuente precisos.</t>
  </si>
  <si>
    <t>Máximo de lecturas válidas</t>
  </si>
  <si>
    <t>☐ Pendientes visibles en el informe.</t>
  </si>
  <si>
    <t>Estado de emisión</t>
  </si>
  <si>
    <t>☐ Conclusiones limitadas a evidencia.</t>
  </si>
  <si>
    <t>☐ Revisión técnica y firma pendientes.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</si>
</sst>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0.000"/>
  </numFmts>
  <fonts count="7">
    <font>
      <sz val="11"/>
      <name val="Carlito"/>
    </font>
    <font>
      <b/>
      <sz val="14"/>
      <color rgb="FFFFFFFF"/>
      <name val="Arial"/>
    </font>
    <font>
      <i/>
      <sz val="10"/>
      <name val="Arial"/>
    </font>
    <font>
      <b/>
      <sz val="10"/>
      <color rgb="FF1F4E79"/>
      <name val="Arial"/>
    </font>
    <font>
      <b/>
      <sz val="10"/>
      <color rgb="FFFFFFFF"/>
      <name val="Arial"/>
    </font>
    <font>
      <sz val="9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164" fontId="0" fillId="3" borderId="1" xfId="0" applyNumberForma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5" fontId="5" fillId="0" borderId="1" xfId="0" applyNumberFormat="1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5" fontId="6" fillId="0" borderId="1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3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1" defaultTableStyle="TableStyleMedium2" defaultPivotStyle="PivotStyleLight16">
    <tableStyle name="Invisible" pivot="0" table="0" count="0" xr9:uid="{29F0ED6E-9822-47BF-BBF6-BF924E1BF6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workbookViewId="0">
      <selection activeCell="B16" sqref="B16"/>
    </sheetView>
  </sheetViews>
  <sheetFormatPr baseColWidth="10" defaultColWidth="8.796875" defaultRowHeight="13.8"/>
  <cols>
    <col min="1" max="1" width="28" customWidth="1"/>
    <col min="2" max="2" width="68" customWidth="1"/>
    <col min="4" max="4" width="45" customWidth="1"/>
  </cols>
  <sheetData>
    <row r="1" spans="1:4" ht="28.05" customHeight="1">
      <c r="A1" s="13" t="s">
        <v>0</v>
      </c>
      <c r="B1" s="13" t="s">
        <v>0</v>
      </c>
      <c r="C1" s="13" t="s">
        <v>0</v>
      </c>
      <c r="D1" s="13" t="s">
        <v>0</v>
      </c>
    </row>
    <row r="3" spans="1:4">
      <c r="A3" s="14" t="s">
        <v>1</v>
      </c>
      <c r="B3" s="14" t="s">
        <v>1</v>
      </c>
      <c r="C3" s="14" t="s">
        <v>1</v>
      </c>
      <c r="D3" s="14" t="s">
        <v>1</v>
      </c>
    </row>
    <row r="5" spans="1:4" ht="15" customHeight="1">
      <c r="A5" s="1" t="s">
        <v>2</v>
      </c>
      <c r="B5" s="2" t="s">
        <v>3</v>
      </c>
      <c r="D5" s="4" t="s">
        <v>4</v>
      </c>
    </row>
    <row r="6" spans="1:4" ht="15" customHeight="1">
      <c r="A6" s="1" t="s">
        <v>5</v>
      </c>
      <c r="B6" s="2" t="s">
        <v>3</v>
      </c>
      <c r="D6" s="5" t="s">
        <v>6</v>
      </c>
    </row>
    <row r="7" spans="1:4" ht="26.4" customHeight="1">
      <c r="A7" s="1" t="s">
        <v>7</v>
      </c>
      <c r="B7" s="2" t="s">
        <v>3</v>
      </c>
      <c r="D7" s="5" t="s">
        <v>8</v>
      </c>
    </row>
    <row r="8" spans="1:4" ht="15" customHeight="1">
      <c r="A8" s="1" t="s">
        <v>9</v>
      </c>
      <c r="B8" s="2" t="s">
        <v>10</v>
      </c>
      <c r="D8" s="5" t="s">
        <v>11</v>
      </c>
    </row>
    <row r="9" spans="1:4" ht="26.4" customHeight="1">
      <c r="A9" s="1" t="s">
        <v>12</v>
      </c>
      <c r="B9" s="3"/>
      <c r="D9" s="5" t="s">
        <v>13</v>
      </c>
    </row>
    <row r="10" spans="1:4" ht="15" customHeight="1">
      <c r="A10" s="1" t="s">
        <v>14</v>
      </c>
      <c r="B10" s="3"/>
      <c r="D10" s="5" t="s">
        <v>15</v>
      </c>
    </row>
    <row r="11" spans="1:4" ht="15" customHeight="1">
      <c r="A11" s="1" t="s">
        <v>16</v>
      </c>
      <c r="B11" s="2" t="s">
        <v>3</v>
      </c>
      <c r="D11" s="5" t="s">
        <v>17</v>
      </c>
    </row>
    <row r="12" spans="1:4" ht="15" customHeight="1">
      <c r="A12" s="1" t="s">
        <v>18</v>
      </c>
      <c r="B12" s="2" t="s">
        <v>3</v>
      </c>
      <c r="D12" s="5" t="s">
        <v>19</v>
      </c>
    </row>
    <row r="13" spans="1:4" ht="15" customHeight="1">
      <c r="A13" s="1" t="s">
        <v>20</v>
      </c>
      <c r="B13" s="2" t="s">
        <v>21</v>
      </c>
      <c r="D13" s="5" t="s">
        <v>22</v>
      </c>
    </row>
    <row r="14" spans="1:4" ht="15" customHeight="1">
      <c r="A14" s="1" t="s">
        <v>23</v>
      </c>
      <c r="B14" s="2" t="s">
        <v>3</v>
      </c>
    </row>
    <row r="15" spans="1:4" ht="15" customHeight="1">
      <c r="A15" s="1" t="s">
        <v>24</v>
      </c>
      <c r="B15" s="2" t="s">
        <v>3</v>
      </c>
    </row>
    <row r="16" spans="1:4" ht="15" customHeight="1">
      <c r="A16" s="1" t="s">
        <v>25</v>
      </c>
      <c r="B16" s="2" t="s">
        <v>26</v>
      </c>
    </row>
    <row r="17" spans="1:2" ht="15" customHeight="1">
      <c r="A17" s="1" t="s">
        <v>27</v>
      </c>
      <c r="B17" s="2" t="s">
        <v>3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"/>
  <sheetViews>
    <sheetView showGridLines="0" tabSelected="1" workbookViewId="0">
      <selection activeCell="M7" sqref="M7"/>
    </sheetView>
  </sheetViews>
  <sheetFormatPr baseColWidth="10" defaultColWidth="8.796875" defaultRowHeight="13.8"/>
  <cols>
    <col min="1" max="1" width="12" customWidth="1"/>
    <col min="2" max="2" width="24" customWidth="1"/>
    <col min="3" max="3" width="21" customWidth="1"/>
    <col min="4" max="4" width="16" customWidth="1"/>
    <col min="5" max="6" width="13" customWidth="1"/>
    <col min="7" max="7" width="27" customWidth="1"/>
    <col min="8" max="8" width="25" customWidth="1"/>
    <col min="9" max="9" width="28" customWidth="1"/>
    <col min="10" max="10" width="15" customWidth="1"/>
    <col min="11" max="11" width="16" customWidth="1"/>
    <col min="12" max="12" width="28" customWidth="1"/>
    <col min="13" max="13" width="17" customWidth="1"/>
  </cols>
  <sheetData>
    <row r="1" spans="1:13" ht="28.05" customHeight="1">
      <c r="A1" s="13" t="s">
        <v>28</v>
      </c>
      <c r="B1" s="13" t="s">
        <v>28</v>
      </c>
      <c r="C1" s="13" t="s">
        <v>28</v>
      </c>
      <c r="D1" s="13" t="s">
        <v>28</v>
      </c>
      <c r="E1" s="13" t="s">
        <v>28</v>
      </c>
      <c r="F1" s="13" t="s">
        <v>28</v>
      </c>
      <c r="G1" s="13" t="s">
        <v>28</v>
      </c>
      <c r="H1" s="13" t="s">
        <v>28</v>
      </c>
      <c r="I1" s="13" t="s">
        <v>28</v>
      </c>
      <c r="J1" s="13" t="s">
        <v>28</v>
      </c>
      <c r="K1" s="13" t="s">
        <v>28</v>
      </c>
      <c r="L1" s="13" t="s">
        <v>28</v>
      </c>
      <c r="M1" s="13" t="s">
        <v>28</v>
      </c>
    </row>
    <row r="3" spans="1:13">
      <c r="A3" s="14" t="s">
        <v>29</v>
      </c>
      <c r="B3" s="14" t="s">
        <v>29</v>
      </c>
      <c r="C3" s="14" t="s">
        <v>29</v>
      </c>
      <c r="D3" s="14" t="s">
        <v>29</v>
      </c>
      <c r="E3" s="14" t="s">
        <v>29</v>
      </c>
      <c r="F3" s="14" t="s">
        <v>29</v>
      </c>
      <c r="G3" s="14" t="s">
        <v>29</v>
      </c>
      <c r="H3" s="14" t="s">
        <v>29</v>
      </c>
      <c r="I3" s="14" t="s">
        <v>29</v>
      </c>
      <c r="J3" s="14" t="s">
        <v>29</v>
      </c>
      <c r="K3" s="14" t="s">
        <v>29</v>
      </c>
      <c r="L3" s="14" t="s">
        <v>29</v>
      </c>
      <c r="M3" s="14" t="s">
        <v>29</v>
      </c>
    </row>
    <row r="6" spans="1:13">
      <c r="A6" s="6" t="s">
        <v>30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6" t="s">
        <v>36</v>
      </c>
      <c r="H6" s="6" t="s">
        <v>37</v>
      </c>
      <c r="I6" s="6" t="s">
        <v>38</v>
      </c>
      <c r="J6" s="6" t="s">
        <v>39</v>
      </c>
      <c r="K6" s="6" t="s">
        <v>40</v>
      </c>
      <c r="L6" s="6" t="s">
        <v>41</v>
      </c>
      <c r="M6" s="6" t="s">
        <v>42</v>
      </c>
    </row>
    <row r="7" spans="1:13" ht="31.95" customHeight="1">
      <c r="A7" s="7" t="s">
        <v>43</v>
      </c>
      <c r="B7" s="7" t="s">
        <v>44</v>
      </c>
      <c r="C7" s="7" t="s">
        <v>45</v>
      </c>
      <c r="D7" s="7" t="s">
        <v>46</v>
      </c>
      <c r="E7" s="8"/>
      <c r="F7" s="8"/>
      <c r="G7" s="7" t="s">
        <v>47</v>
      </c>
      <c r="H7" s="7" t="s">
        <v>48</v>
      </c>
      <c r="I7" s="7" t="s">
        <v>49</v>
      </c>
      <c r="J7" s="7" t="s">
        <v>50</v>
      </c>
      <c r="K7" s="7" t="s">
        <v>51</v>
      </c>
      <c r="L7" s="7" t="s">
        <v>52</v>
      </c>
      <c r="M7" s="7" t="str">
        <f t="shared" ref="M7:M46" si="0">IF(OR(E7="",F7="",H7="",J7&lt;&gt;"Sí",K7&lt;&gt;"Sí"),"PENDIENTE",IF(E7&lt;=F7,"CONFORME","REVISAR"))</f>
        <v>PENDIENTE</v>
      </c>
    </row>
    <row r="8" spans="1:13" ht="31.95" customHeight="1">
      <c r="A8" s="7" t="s">
        <v>53</v>
      </c>
      <c r="B8" s="7" t="s">
        <v>44</v>
      </c>
      <c r="C8" s="7" t="s">
        <v>45</v>
      </c>
      <c r="D8" s="7" t="s">
        <v>46</v>
      </c>
      <c r="E8" s="8"/>
      <c r="F8" s="8"/>
      <c r="G8" s="7" t="s">
        <v>47</v>
      </c>
      <c r="H8" s="7" t="s">
        <v>54</v>
      </c>
      <c r="I8" s="7" t="s">
        <v>55</v>
      </c>
      <c r="J8" s="7" t="s">
        <v>50</v>
      </c>
      <c r="K8" s="7" t="s">
        <v>51</v>
      </c>
      <c r="L8" s="7" t="s">
        <v>52</v>
      </c>
      <c r="M8" s="7" t="str">
        <f t="shared" si="0"/>
        <v>PENDIENTE</v>
      </c>
    </row>
    <row r="9" spans="1:13" ht="31.95" customHeight="1">
      <c r="A9" s="7" t="s">
        <v>56</v>
      </c>
      <c r="B9" s="7" t="s">
        <v>44</v>
      </c>
      <c r="C9" s="7" t="s">
        <v>45</v>
      </c>
      <c r="D9" s="7" t="s">
        <v>46</v>
      </c>
      <c r="E9" s="8"/>
      <c r="F9" s="8"/>
      <c r="G9" s="7" t="s">
        <v>47</v>
      </c>
      <c r="H9" s="7" t="s">
        <v>57</v>
      </c>
      <c r="I9" s="7" t="s">
        <v>58</v>
      </c>
      <c r="J9" s="7" t="s">
        <v>50</v>
      </c>
      <c r="K9" s="7" t="s">
        <v>51</v>
      </c>
      <c r="L9" s="7" t="s">
        <v>52</v>
      </c>
      <c r="M9" s="7" t="str">
        <f t="shared" si="0"/>
        <v>PENDIENTE</v>
      </c>
    </row>
    <row r="10" spans="1:13" ht="31.95" customHeight="1">
      <c r="A10" s="7" t="s">
        <v>59</v>
      </c>
      <c r="B10" s="7" t="s">
        <v>44</v>
      </c>
      <c r="C10" s="7" t="s">
        <v>45</v>
      </c>
      <c r="D10" s="7" t="s">
        <v>46</v>
      </c>
      <c r="E10" s="8"/>
      <c r="F10" s="8"/>
      <c r="G10" s="7" t="s">
        <v>47</v>
      </c>
      <c r="H10" s="7" t="s">
        <v>60</v>
      </c>
      <c r="I10" s="7" t="s">
        <v>61</v>
      </c>
      <c r="J10" s="7" t="s">
        <v>50</v>
      </c>
      <c r="K10" s="7" t="s">
        <v>51</v>
      </c>
      <c r="L10" s="7" t="s">
        <v>52</v>
      </c>
      <c r="M10" s="7" t="str">
        <f t="shared" si="0"/>
        <v>PENDIENTE</v>
      </c>
    </row>
    <row r="11" spans="1:13" ht="31.95" customHeight="1">
      <c r="A11" s="7" t="s">
        <v>62</v>
      </c>
      <c r="B11" s="7" t="s">
        <v>44</v>
      </c>
      <c r="C11" s="7" t="s">
        <v>45</v>
      </c>
      <c r="D11" s="7" t="s">
        <v>46</v>
      </c>
      <c r="E11" s="8"/>
      <c r="F11" s="8"/>
      <c r="G11" s="7" t="s">
        <v>47</v>
      </c>
      <c r="H11" s="7" t="s">
        <v>63</v>
      </c>
      <c r="I11" s="7" t="s">
        <v>64</v>
      </c>
      <c r="J11" s="7" t="s">
        <v>50</v>
      </c>
      <c r="K11" s="7" t="s">
        <v>51</v>
      </c>
      <c r="L11" s="7" t="s">
        <v>52</v>
      </c>
      <c r="M11" s="7" t="str">
        <f t="shared" si="0"/>
        <v>PENDIENTE</v>
      </c>
    </row>
    <row r="12" spans="1:13" ht="31.95" customHeight="1">
      <c r="A12" s="7" t="s">
        <v>65</v>
      </c>
      <c r="B12" s="7" t="s">
        <v>44</v>
      </c>
      <c r="C12" s="7" t="s">
        <v>45</v>
      </c>
      <c r="D12" s="7" t="s">
        <v>46</v>
      </c>
      <c r="E12" s="8"/>
      <c r="F12" s="8"/>
      <c r="G12" s="7" t="s">
        <v>47</v>
      </c>
      <c r="H12" s="7" t="s">
        <v>66</v>
      </c>
      <c r="I12" s="7" t="s">
        <v>67</v>
      </c>
      <c r="J12" s="7" t="s">
        <v>50</v>
      </c>
      <c r="K12" s="7" t="s">
        <v>51</v>
      </c>
      <c r="L12" s="7" t="s">
        <v>52</v>
      </c>
      <c r="M12" s="7" t="str">
        <f t="shared" si="0"/>
        <v>PENDIENTE</v>
      </c>
    </row>
    <row r="13" spans="1:13" ht="31.95" customHeight="1">
      <c r="A13" s="7" t="s">
        <v>68</v>
      </c>
      <c r="B13" s="7" t="s">
        <v>44</v>
      </c>
      <c r="C13" s="7" t="s">
        <v>45</v>
      </c>
      <c r="D13" s="7" t="s">
        <v>46</v>
      </c>
      <c r="E13" s="8"/>
      <c r="F13" s="8"/>
      <c r="G13" s="7" t="s">
        <v>47</v>
      </c>
      <c r="H13" s="7" t="s">
        <v>69</v>
      </c>
      <c r="I13" s="7" t="s">
        <v>70</v>
      </c>
      <c r="J13" s="7" t="s">
        <v>50</v>
      </c>
      <c r="K13" s="7" t="s">
        <v>51</v>
      </c>
      <c r="L13" s="7" t="s">
        <v>52</v>
      </c>
      <c r="M13" s="7" t="str">
        <f t="shared" si="0"/>
        <v>PENDIENTE</v>
      </c>
    </row>
    <row r="14" spans="1:13" ht="31.95" customHeight="1">
      <c r="A14" s="7" t="s">
        <v>71</v>
      </c>
      <c r="B14" s="7" t="s">
        <v>44</v>
      </c>
      <c r="C14" s="7" t="s">
        <v>45</v>
      </c>
      <c r="D14" s="7" t="s">
        <v>46</v>
      </c>
      <c r="E14" s="8"/>
      <c r="F14" s="8"/>
      <c r="G14" s="7" t="s">
        <v>47</v>
      </c>
      <c r="H14" s="7" t="s">
        <v>72</v>
      </c>
      <c r="I14" s="7" t="s">
        <v>73</v>
      </c>
      <c r="J14" s="7" t="s">
        <v>50</v>
      </c>
      <c r="K14" s="7" t="s">
        <v>51</v>
      </c>
      <c r="L14" s="7" t="s">
        <v>52</v>
      </c>
      <c r="M14" s="7" t="str">
        <f t="shared" si="0"/>
        <v>PENDIENTE</v>
      </c>
    </row>
    <row r="15" spans="1:13" ht="31.95" customHeight="1">
      <c r="A15" s="7" t="s">
        <v>74</v>
      </c>
      <c r="B15" s="7" t="s">
        <v>44</v>
      </c>
      <c r="C15" s="7" t="s">
        <v>45</v>
      </c>
      <c r="D15" s="7" t="s">
        <v>46</v>
      </c>
      <c r="E15" s="8"/>
      <c r="F15" s="8"/>
      <c r="G15" s="7" t="s">
        <v>47</v>
      </c>
      <c r="H15" s="7" t="s">
        <v>75</v>
      </c>
      <c r="I15" s="7" t="s">
        <v>76</v>
      </c>
      <c r="J15" s="7" t="s">
        <v>50</v>
      </c>
      <c r="K15" s="7" t="s">
        <v>51</v>
      </c>
      <c r="L15" s="7" t="s">
        <v>52</v>
      </c>
      <c r="M15" s="7" t="str">
        <f t="shared" si="0"/>
        <v>PENDIENTE</v>
      </c>
    </row>
    <row r="16" spans="1:13" ht="31.95" customHeight="1">
      <c r="A16" s="7" t="s">
        <v>77</v>
      </c>
      <c r="B16" s="7" t="s">
        <v>44</v>
      </c>
      <c r="C16" s="7" t="s">
        <v>45</v>
      </c>
      <c r="D16" s="7" t="s">
        <v>46</v>
      </c>
      <c r="E16" s="8"/>
      <c r="F16" s="8"/>
      <c r="G16" s="7" t="s">
        <v>47</v>
      </c>
      <c r="H16" s="7" t="s">
        <v>78</v>
      </c>
      <c r="I16" s="7" t="s">
        <v>79</v>
      </c>
      <c r="J16" s="7" t="s">
        <v>50</v>
      </c>
      <c r="K16" s="7" t="s">
        <v>51</v>
      </c>
      <c r="L16" s="7" t="s">
        <v>52</v>
      </c>
      <c r="M16" s="7" t="str">
        <f t="shared" si="0"/>
        <v>PENDIENTE</v>
      </c>
    </row>
    <row r="17" spans="1:13" ht="31.95" customHeight="1">
      <c r="A17" s="7" t="s">
        <v>80</v>
      </c>
      <c r="B17" s="7" t="s">
        <v>44</v>
      </c>
      <c r="C17" s="7" t="s">
        <v>45</v>
      </c>
      <c r="D17" s="7" t="s">
        <v>46</v>
      </c>
      <c r="E17" s="8"/>
      <c r="F17" s="8"/>
      <c r="G17" s="7" t="s">
        <v>47</v>
      </c>
      <c r="H17" s="7" t="s">
        <v>81</v>
      </c>
      <c r="I17" s="7" t="s">
        <v>82</v>
      </c>
      <c r="J17" s="7" t="s">
        <v>50</v>
      </c>
      <c r="K17" s="7" t="s">
        <v>51</v>
      </c>
      <c r="L17" s="7" t="s">
        <v>52</v>
      </c>
      <c r="M17" s="7" t="str">
        <f t="shared" si="0"/>
        <v>PENDIENTE</v>
      </c>
    </row>
    <row r="18" spans="1:13" ht="31.95" customHeight="1">
      <c r="A18" s="7" t="s">
        <v>83</v>
      </c>
      <c r="B18" s="7" t="s">
        <v>44</v>
      </c>
      <c r="C18" s="7" t="s">
        <v>45</v>
      </c>
      <c r="D18" s="7" t="s">
        <v>46</v>
      </c>
      <c r="E18" s="8"/>
      <c r="F18" s="8"/>
      <c r="G18" s="7" t="s">
        <v>47</v>
      </c>
      <c r="H18" s="7" t="s">
        <v>84</v>
      </c>
      <c r="I18" s="7" t="s">
        <v>85</v>
      </c>
      <c r="J18" s="7" t="s">
        <v>50</v>
      </c>
      <c r="K18" s="7" t="s">
        <v>51</v>
      </c>
      <c r="L18" s="7" t="s">
        <v>52</v>
      </c>
      <c r="M18" s="7" t="str">
        <f t="shared" si="0"/>
        <v>PENDIENTE</v>
      </c>
    </row>
    <row r="19" spans="1:13" ht="31.95" customHeight="1">
      <c r="A19" s="7" t="s">
        <v>86</v>
      </c>
      <c r="B19" s="7" t="s">
        <v>44</v>
      </c>
      <c r="C19" s="7" t="s">
        <v>45</v>
      </c>
      <c r="D19" s="7" t="s">
        <v>46</v>
      </c>
      <c r="E19" s="8"/>
      <c r="F19" s="8"/>
      <c r="G19" s="7" t="s">
        <v>47</v>
      </c>
      <c r="H19" s="7" t="s">
        <v>87</v>
      </c>
      <c r="I19" s="7" t="s">
        <v>88</v>
      </c>
      <c r="J19" s="7" t="s">
        <v>50</v>
      </c>
      <c r="K19" s="7" t="s">
        <v>51</v>
      </c>
      <c r="L19" s="7" t="s">
        <v>52</v>
      </c>
      <c r="M19" s="7" t="str">
        <f t="shared" si="0"/>
        <v>PENDIENTE</v>
      </c>
    </row>
    <row r="20" spans="1:13" ht="31.95" customHeight="1">
      <c r="A20" s="7" t="s">
        <v>89</v>
      </c>
      <c r="B20" s="7" t="s">
        <v>44</v>
      </c>
      <c r="C20" s="7" t="s">
        <v>45</v>
      </c>
      <c r="D20" s="7" t="s">
        <v>46</v>
      </c>
      <c r="E20" s="8"/>
      <c r="F20" s="8"/>
      <c r="G20" s="7" t="s">
        <v>47</v>
      </c>
      <c r="H20" s="7" t="s">
        <v>90</v>
      </c>
      <c r="I20" s="7" t="s">
        <v>91</v>
      </c>
      <c r="J20" s="7" t="s">
        <v>50</v>
      </c>
      <c r="K20" s="7" t="s">
        <v>51</v>
      </c>
      <c r="L20" s="7" t="s">
        <v>52</v>
      </c>
      <c r="M20" s="7" t="str">
        <f t="shared" si="0"/>
        <v>PENDIENTE</v>
      </c>
    </row>
    <row r="21" spans="1:13" ht="31.95" customHeight="1">
      <c r="A21" s="7" t="s">
        <v>92</v>
      </c>
      <c r="B21" s="7" t="s">
        <v>44</v>
      </c>
      <c r="C21" s="7" t="s">
        <v>45</v>
      </c>
      <c r="D21" s="7" t="s">
        <v>46</v>
      </c>
      <c r="E21" s="8"/>
      <c r="F21" s="8"/>
      <c r="G21" s="7" t="s">
        <v>47</v>
      </c>
      <c r="H21" s="7" t="s">
        <v>93</v>
      </c>
      <c r="I21" s="7" t="s">
        <v>94</v>
      </c>
      <c r="J21" s="7" t="s">
        <v>50</v>
      </c>
      <c r="K21" s="7" t="s">
        <v>51</v>
      </c>
      <c r="L21" s="7" t="s">
        <v>52</v>
      </c>
      <c r="M21" s="7" t="str">
        <f t="shared" si="0"/>
        <v>PENDIENTE</v>
      </c>
    </row>
    <row r="22" spans="1:13" ht="31.95" customHeight="1">
      <c r="A22" s="7" t="s">
        <v>95</v>
      </c>
      <c r="B22" s="7" t="s">
        <v>44</v>
      </c>
      <c r="C22" s="7" t="s">
        <v>45</v>
      </c>
      <c r="D22" s="7" t="s">
        <v>46</v>
      </c>
      <c r="E22" s="8"/>
      <c r="F22" s="8"/>
      <c r="G22" s="7" t="s">
        <v>47</v>
      </c>
      <c r="H22" s="7" t="s">
        <v>96</v>
      </c>
      <c r="I22" s="7" t="s">
        <v>97</v>
      </c>
      <c r="J22" s="7" t="s">
        <v>50</v>
      </c>
      <c r="K22" s="7" t="s">
        <v>51</v>
      </c>
      <c r="L22" s="7" t="s">
        <v>52</v>
      </c>
      <c r="M22" s="7" t="str">
        <f t="shared" si="0"/>
        <v>PENDIENTE</v>
      </c>
    </row>
    <row r="23" spans="1:13" ht="31.95" customHeight="1">
      <c r="A23" s="7" t="s">
        <v>98</v>
      </c>
      <c r="B23" s="7" t="s">
        <v>44</v>
      </c>
      <c r="C23" s="7" t="s">
        <v>45</v>
      </c>
      <c r="D23" s="7" t="s">
        <v>46</v>
      </c>
      <c r="E23" s="8"/>
      <c r="F23" s="8"/>
      <c r="G23" s="7" t="s">
        <v>47</v>
      </c>
      <c r="H23" s="7" t="s">
        <v>99</v>
      </c>
      <c r="I23" s="7" t="s">
        <v>100</v>
      </c>
      <c r="J23" s="7" t="s">
        <v>50</v>
      </c>
      <c r="K23" s="7" t="s">
        <v>51</v>
      </c>
      <c r="L23" s="7" t="s">
        <v>52</v>
      </c>
      <c r="M23" s="7" t="str">
        <f t="shared" si="0"/>
        <v>PENDIENTE</v>
      </c>
    </row>
    <row r="24" spans="1:13" ht="31.95" customHeight="1">
      <c r="A24" s="7" t="s">
        <v>101</v>
      </c>
      <c r="B24" s="7" t="s">
        <v>44</v>
      </c>
      <c r="C24" s="7" t="s">
        <v>45</v>
      </c>
      <c r="D24" s="7" t="s">
        <v>46</v>
      </c>
      <c r="E24" s="8"/>
      <c r="F24" s="8"/>
      <c r="G24" s="7" t="s">
        <v>47</v>
      </c>
      <c r="H24" s="7" t="s">
        <v>102</v>
      </c>
      <c r="I24" s="7" t="s">
        <v>103</v>
      </c>
      <c r="J24" s="7" t="s">
        <v>50</v>
      </c>
      <c r="K24" s="7" t="s">
        <v>51</v>
      </c>
      <c r="L24" s="7" t="s">
        <v>52</v>
      </c>
      <c r="M24" s="7" t="str">
        <f t="shared" si="0"/>
        <v>PENDIENTE</v>
      </c>
    </row>
    <row r="25" spans="1:13" ht="31.95" customHeight="1">
      <c r="A25" s="7" t="s">
        <v>104</v>
      </c>
      <c r="B25" s="7" t="s">
        <v>44</v>
      </c>
      <c r="C25" s="7" t="s">
        <v>45</v>
      </c>
      <c r="D25" s="7" t="s">
        <v>46</v>
      </c>
      <c r="E25" s="8"/>
      <c r="F25" s="8"/>
      <c r="G25" s="7" t="s">
        <v>47</v>
      </c>
      <c r="H25" s="7" t="s">
        <v>105</v>
      </c>
      <c r="I25" s="7" t="s">
        <v>106</v>
      </c>
      <c r="J25" s="7" t="s">
        <v>50</v>
      </c>
      <c r="K25" s="7" t="s">
        <v>51</v>
      </c>
      <c r="L25" s="7" t="s">
        <v>52</v>
      </c>
      <c r="M25" s="7" t="str">
        <f t="shared" si="0"/>
        <v>PENDIENTE</v>
      </c>
    </row>
    <row r="26" spans="1:13" ht="31.95" customHeight="1">
      <c r="A26" s="7" t="s">
        <v>107</v>
      </c>
      <c r="B26" s="7" t="s">
        <v>44</v>
      </c>
      <c r="C26" s="7" t="s">
        <v>45</v>
      </c>
      <c r="D26" s="7" t="s">
        <v>46</v>
      </c>
      <c r="E26" s="8"/>
      <c r="F26" s="8"/>
      <c r="G26" s="7" t="s">
        <v>47</v>
      </c>
      <c r="H26" s="7" t="s">
        <v>108</v>
      </c>
      <c r="I26" s="7" t="s">
        <v>109</v>
      </c>
      <c r="J26" s="7" t="s">
        <v>50</v>
      </c>
      <c r="K26" s="7" t="s">
        <v>51</v>
      </c>
      <c r="L26" s="7" t="s">
        <v>52</v>
      </c>
      <c r="M26" s="7" t="str">
        <f t="shared" si="0"/>
        <v>PENDIENTE</v>
      </c>
    </row>
    <row r="27" spans="1:13" ht="31.95" customHeight="1">
      <c r="A27" s="7" t="s">
        <v>110</v>
      </c>
      <c r="B27" s="7" t="s">
        <v>44</v>
      </c>
      <c r="C27" s="7" t="s">
        <v>45</v>
      </c>
      <c r="D27" s="7" t="s">
        <v>46</v>
      </c>
      <c r="E27" s="8"/>
      <c r="F27" s="8"/>
      <c r="G27" s="7" t="s">
        <v>47</v>
      </c>
      <c r="H27" s="7" t="s">
        <v>111</v>
      </c>
      <c r="I27" s="7" t="s">
        <v>112</v>
      </c>
      <c r="J27" s="7" t="s">
        <v>50</v>
      </c>
      <c r="K27" s="7" t="s">
        <v>51</v>
      </c>
      <c r="L27" s="7" t="s">
        <v>52</v>
      </c>
      <c r="M27" s="7" t="str">
        <f t="shared" si="0"/>
        <v>PENDIENTE</v>
      </c>
    </row>
    <row r="28" spans="1:13" ht="31.95" customHeight="1">
      <c r="A28" s="7" t="s">
        <v>113</v>
      </c>
      <c r="B28" s="7" t="s">
        <v>44</v>
      </c>
      <c r="C28" s="7" t="s">
        <v>45</v>
      </c>
      <c r="D28" s="7" t="s">
        <v>46</v>
      </c>
      <c r="E28" s="8"/>
      <c r="F28" s="8"/>
      <c r="G28" s="7" t="s">
        <v>47</v>
      </c>
      <c r="H28" s="7" t="s">
        <v>114</v>
      </c>
      <c r="I28" s="7" t="s">
        <v>115</v>
      </c>
      <c r="J28" s="7" t="s">
        <v>50</v>
      </c>
      <c r="K28" s="7" t="s">
        <v>51</v>
      </c>
      <c r="L28" s="7" t="s">
        <v>52</v>
      </c>
      <c r="M28" s="7" t="str">
        <f t="shared" si="0"/>
        <v>PENDIENTE</v>
      </c>
    </row>
    <row r="29" spans="1:13" ht="31.95" customHeight="1">
      <c r="A29" s="7" t="s">
        <v>116</v>
      </c>
      <c r="B29" s="7" t="s">
        <v>44</v>
      </c>
      <c r="C29" s="7" t="s">
        <v>45</v>
      </c>
      <c r="D29" s="7" t="s">
        <v>46</v>
      </c>
      <c r="E29" s="8"/>
      <c r="F29" s="8"/>
      <c r="G29" s="7" t="s">
        <v>47</v>
      </c>
      <c r="H29" s="7" t="s">
        <v>117</v>
      </c>
      <c r="I29" s="7" t="s">
        <v>118</v>
      </c>
      <c r="J29" s="7" t="s">
        <v>50</v>
      </c>
      <c r="K29" s="7" t="s">
        <v>51</v>
      </c>
      <c r="L29" s="7" t="s">
        <v>52</v>
      </c>
      <c r="M29" s="7" t="str">
        <f t="shared" si="0"/>
        <v>PENDIENTE</v>
      </c>
    </row>
    <row r="30" spans="1:13" ht="31.95" customHeight="1">
      <c r="A30" s="7" t="s">
        <v>119</v>
      </c>
      <c r="B30" s="7" t="s">
        <v>44</v>
      </c>
      <c r="C30" s="7" t="s">
        <v>45</v>
      </c>
      <c r="D30" s="7" t="s">
        <v>46</v>
      </c>
      <c r="E30" s="8"/>
      <c r="F30" s="8"/>
      <c r="G30" s="7" t="s">
        <v>47</v>
      </c>
      <c r="H30" s="7" t="s">
        <v>120</v>
      </c>
      <c r="I30" s="7" t="s">
        <v>121</v>
      </c>
      <c r="J30" s="7" t="s">
        <v>50</v>
      </c>
      <c r="K30" s="7" t="s">
        <v>51</v>
      </c>
      <c r="L30" s="7" t="s">
        <v>52</v>
      </c>
      <c r="M30" s="7" t="str">
        <f t="shared" si="0"/>
        <v>PENDIENTE</v>
      </c>
    </row>
    <row r="31" spans="1:13" ht="31.95" customHeight="1">
      <c r="A31" s="7" t="s">
        <v>122</v>
      </c>
      <c r="B31" s="7" t="s">
        <v>44</v>
      </c>
      <c r="C31" s="7" t="s">
        <v>45</v>
      </c>
      <c r="D31" s="7" t="s">
        <v>46</v>
      </c>
      <c r="E31" s="8"/>
      <c r="F31" s="8"/>
      <c r="G31" s="7" t="s">
        <v>47</v>
      </c>
      <c r="H31" s="7" t="s">
        <v>123</v>
      </c>
      <c r="I31" s="7" t="s">
        <v>124</v>
      </c>
      <c r="J31" s="7" t="s">
        <v>50</v>
      </c>
      <c r="K31" s="7" t="s">
        <v>51</v>
      </c>
      <c r="L31" s="7" t="s">
        <v>52</v>
      </c>
      <c r="M31" s="7" t="str">
        <f t="shared" si="0"/>
        <v>PENDIENTE</v>
      </c>
    </row>
    <row r="32" spans="1:13" ht="31.95" customHeight="1">
      <c r="A32" s="7" t="s">
        <v>125</v>
      </c>
      <c r="B32" s="7" t="s">
        <v>44</v>
      </c>
      <c r="C32" s="7" t="s">
        <v>45</v>
      </c>
      <c r="D32" s="7" t="s">
        <v>46</v>
      </c>
      <c r="E32" s="8"/>
      <c r="F32" s="8"/>
      <c r="G32" s="7" t="s">
        <v>47</v>
      </c>
      <c r="H32" s="7" t="s">
        <v>126</v>
      </c>
      <c r="I32" s="7" t="s">
        <v>127</v>
      </c>
      <c r="J32" s="7" t="s">
        <v>50</v>
      </c>
      <c r="K32" s="7" t="s">
        <v>51</v>
      </c>
      <c r="L32" s="7" t="s">
        <v>52</v>
      </c>
      <c r="M32" s="7" t="str">
        <f t="shared" si="0"/>
        <v>PENDIENTE</v>
      </c>
    </row>
    <row r="33" spans="1:13" ht="31.95" customHeight="1">
      <c r="A33" s="7" t="s">
        <v>128</v>
      </c>
      <c r="B33" s="7" t="s">
        <v>44</v>
      </c>
      <c r="C33" s="7" t="s">
        <v>45</v>
      </c>
      <c r="D33" s="7" t="s">
        <v>46</v>
      </c>
      <c r="E33" s="8"/>
      <c r="F33" s="8"/>
      <c r="G33" s="7" t="s">
        <v>47</v>
      </c>
      <c r="H33" s="7" t="s">
        <v>129</v>
      </c>
      <c r="I33" s="7" t="s">
        <v>130</v>
      </c>
      <c r="J33" s="7" t="s">
        <v>50</v>
      </c>
      <c r="K33" s="7" t="s">
        <v>51</v>
      </c>
      <c r="L33" s="7" t="s">
        <v>52</v>
      </c>
      <c r="M33" s="7" t="str">
        <f t="shared" si="0"/>
        <v>PENDIENTE</v>
      </c>
    </row>
    <row r="34" spans="1:13" ht="31.95" customHeight="1">
      <c r="A34" s="7" t="s">
        <v>131</v>
      </c>
      <c r="B34" s="7" t="s">
        <v>44</v>
      </c>
      <c r="C34" s="7" t="s">
        <v>45</v>
      </c>
      <c r="D34" s="7" t="s">
        <v>46</v>
      </c>
      <c r="E34" s="8"/>
      <c r="F34" s="8"/>
      <c r="G34" s="7" t="s">
        <v>47</v>
      </c>
      <c r="H34" s="7" t="s">
        <v>132</v>
      </c>
      <c r="I34" s="7" t="s">
        <v>133</v>
      </c>
      <c r="J34" s="7" t="s">
        <v>50</v>
      </c>
      <c r="K34" s="7" t="s">
        <v>51</v>
      </c>
      <c r="L34" s="7" t="s">
        <v>52</v>
      </c>
      <c r="M34" s="7" t="str">
        <f t="shared" si="0"/>
        <v>PENDIENTE</v>
      </c>
    </row>
    <row r="35" spans="1:13" ht="31.95" customHeight="1">
      <c r="A35" s="7" t="s">
        <v>134</v>
      </c>
      <c r="B35" s="7" t="s">
        <v>44</v>
      </c>
      <c r="C35" s="7" t="s">
        <v>45</v>
      </c>
      <c r="D35" s="7" t="s">
        <v>46</v>
      </c>
      <c r="E35" s="8"/>
      <c r="F35" s="8"/>
      <c r="G35" s="7" t="s">
        <v>47</v>
      </c>
      <c r="H35" s="7" t="s">
        <v>135</v>
      </c>
      <c r="I35" s="7" t="s">
        <v>136</v>
      </c>
      <c r="J35" s="7" t="s">
        <v>50</v>
      </c>
      <c r="K35" s="7" t="s">
        <v>51</v>
      </c>
      <c r="L35" s="7" t="s">
        <v>52</v>
      </c>
      <c r="M35" s="7" t="str">
        <f t="shared" si="0"/>
        <v>PENDIENTE</v>
      </c>
    </row>
    <row r="36" spans="1:13" ht="31.95" customHeight="1">
      <c r="A36" s="7" t="s">
        <v>137</v>
      </c>
      <c r="B36" s="7" t="s">
        <v>44</v>
      </c>
      <c r="C36" s="7" t="s">
        <v>45</v>
      </c>
      <c r="D36" s="7" t="s">
        <v>46</v>
      </c>
      <c r="E36" s="8"/>
      <c r="F36" s="8"/>
      <c r="G36" s="7" t="s">
        <v>47</v>
      </c>
      <c r="H36" s="7" t="s">
        <v>138</v>
      </c>
      <c r="I36" s="7" t="s">
        <v>139</v>
      </c>
      <c r="J36" s="7" t="s">
        <v>50</v>
      </c>
      <c r="K36" s="7" t="s">
        <v>51</v>
      </c>
      <c r="L36" s="7" t="s">
        <v>52</v>
      </c>
      <c r="M36" s="7" t="str">
        <f t="shared" si="0"/>
        <v>PENDIENTE</v>
      </c>
    </row>
    <row r="37" spans="1:13" ht="31.95" customHeight="1">
      <c r="A37" s="7" t="s">
        <v>140</v>
      </c>
      <c r="B37" s="7" t="s">
        <v>44</v>
      </c>
      <c r="C37" s="7" t="s">
        <v>45</v>
      </c>
      <c r="D37" s="7" t="s">
        <v>46</v>
      </c>
      <c r="E37" s="8"/>
      <c r="F37" s="8"/>
      <c r="G37" s="7" t="s">
        <v>47</v>
      </c>
      <c r="H37" s="7" t="s">
        <v>141</v>
      </c>
      <c r="I37" s="7" t="s">
        <v>142</v>
      </c>
      <c r="J37" s="7" t="s">
        <v>50</v>
      </c>
      <c r="K37" s="7" t="s">
        <v>51</v>
      </c>
      <c r="L37" s="7" t="s">
        <v>52</v>
      </c>
      <c r="M37" s="7" t="str">
        <f t="shared" si="0"/>
        <v>PENDIENTE</v>
      </c>
    </row>
    <row r="38" spans="1:13" ht="31.95" customHeight="1">
      <c r="A38" s="7" t="s">
        <v>143</v>
      </c>
      <c r="B38" s="7" t="s">
        <v>44</v>
      </c>
      <c r="C38" s="7" t="s">
        <v>45</v>
      </c>
      <c r="D38" s="7" t="s">
        <v>46</v>
      </c>
      <c r="E38" s="8"/>
      <c r="F38" s="8"/>
      <c r="G38" s="7" t="s">
        <v>47</v>
      </c>
      <c r="H38" s="7" t="s">
        <v>144</v>
      </c>
      <c r="I38" s="7" t="s">
        <v>145</v>
      </c>
      <c r="J38" s="7" t="s">
        <v>50</v>
      </c>
      <c r="K38" s="7" t="s">
        <v>51</v>
      </c>
      <c r="L38" s="7" t="s">
        <v>52</v>
      </c>
      <c r="M38" s="7" t="str">
        <f t="shared" si="0"/>
        <v>PENDIENTE</v>
      </c>
    </row>
    <row r="39" spans="1:13" ht="31.95" customHeight="1">
      <c r="A39" s="7" t="s">
        <v>146</v>
      </c>
      <c r="B39" s="7" t="s">
        <v>44</v>
      </c>
      <c r="C39" s="7" t="s">
        <v>45</v>
      </c>
      <c r="D39" s="7" t="s">
        <v>46</v>
      </c>
      <c r="E39" s="8"/>
      <c r="F39" s="8"/>
      <c r="G39" s="7" t="s">
        <v>47</v>
      </c>
      <c r="H39" s="7" t="s">
        <v>147</v>
      </c>
      <c r="I39" s="7" t="s">
        <v>148</v>
      </c>
      <c r="J39" s="7" t="s">
        <v>50</v>
      </c>
      <c r="K39" s="7" t="s">
        <v>51</v>
      </c>
      <c r="L39" s="7" t="s">
        <v>52</v>
      </c>
      <c r="M39" s="7" t="str">
        <f t="shared" si="0"/>
        <v>PENDIENTE</v>
      </c>
    </row>
    <row r="40" spans="1:13" ht="31.95" customHeight="1">
      <c r="A40" s="7" t="s">
        <v>149</v>
      </c>
      <c r="B40" s="7" t="s">
        <v>44</v>
      </c>
      <c r="C40" s="7" t="s">
        <v>45</v>
      </c>
      <c r="D40" s="7" t="s">
        <v>46</v>
      </c>
      <c r="E40" s="8"/>
      <c r="F40" s="8"/>
      <c r="G40" s="7" t="s">
        <v>47</v>
      </c>
      <c r="H40" s="7" t="s">
        <v>150</v>
      </c>
      <c r="I40" s="7" t="s">
        <v>151</v>
      </c>
      <c r="J40" s="7" t="s">
        <v>50</v>
      </c>
      <c r="K40" s="7" t="s">
        <v>51</v>
      </c>
      <c r="L40" s="7" t="s">
        <v>52</v>
      </c>
      <c r="M40" s="7" t="str">
        <f t="shared" si="0"/>
        <v>PENDIENTE</v>
      </c>
    </row>
    <row r="41" spans="1:13" ht="31.95" customHeight="1">
      <c r="A41" s="7" t="s">
        <v>152</v>
      </c>
      <c r="B41" s="7" t="s">
        <v>44</v>
      </c>
      <c r="C41" s="7" t="s">
        <v>45</v>
      </c>
      <c r="D41" s="7" t="s">
        <v>46</v>
      </c>
      <c r="E41" s="8"/>
      <c r="F41" s="8"/>
      <c r="G41" s="7" t="s">
        <v>47</v>
      </c>
      <c r="H41" s="7" t="s">
        <v>153</v>
      </c>
      <c r="I41" s="7" t="s">
        <v>154</v>
      </c>
      <c r="J41" s="7" t="s">
        <v>50</v>
      </c>
      <c r="K41" s="7" t="s">
        <v>51</v>
      </c>
      <c r="L41" s="7" t="s">
        <v>52</v>
      </c>
      <c r="M41" s="7" t="str">
        <f t="shared" si="0"/>
        <v>PENDIENTE</v>
      </c>
    </row>
    <row r="42" spans="1:13" ht="31.95" customHeight="1">
      <c r="A42" s="7" t="s">
        <v>155</v>
      </c>
      <c r="B42" s="7" t="s">
        <v>44</v>
      </c>
      <c r="C42" s="7" t="s">
        <v>45</v>
      </c>
      <c r="D42" s="7" t="s">
        <v>46</v>
      </c>
      <c r="E42" s="8"/>
      <c r="F42" s="8"/>
      <c r="G42" s="7" t="s">
        <v>47</v>
      </c>
      <c r="H42" s="7" t="s">
        <v>156</v>
      </c>
      <c r="I42" s="7" t="s">
        <v>157</v>
      </c>
      <c r="J42" s="7" t="s">
        <v>50</v>
      </c>
      <c r="K42" s="7" t="s">
        <v>51</v>
      </c>
      <c r="L42" s="7" t="s">
        <v>52</v>
      </c>
      <c r="M42" s="7" t="str">
        <f t="shared" si="0"/>
        <v>PENDIENTE</v>
      </c>
    </row>
    <row r="43" spans="1:13" ht="31.95" customHeight="1">
      <c r="A43" s="7" t="s">
        <v>158</v>
      </c>
      <c r="B43" s="7" t="s">
        <v>44</v>
      </c>
      <c r="C43" s="7" t="s">
        <v>45</v>
      </c>
      <c r="D43" s="7" t="s">
        <v>46</v>
      </c>
      <c r="E43" s="8"/>
      <c r="F43" s="8"/>
      <c r="G43" s="7" t="s">
        <v>47</v>
      </c>
      <c r="H43" s="7" t="s">
        <v>159</v>
      </c>
      <c r="I43" s="7" t="s">
        <v>160</v>
      </c>
      <c r="J43" s="7" t="s">
        <v>50</v>
      </c>
      <c r="K43" s="7" t="s">
        <v>51</v>
      </c>
      <c r="L43" s="7" t="s">
        <v>52</v>
      </c>
      <c r="M43" s="7" t="str">
        <f t="shared" si="0"/>
        <v>PENDIENTE</v>
      </c>
    </row>
    <row r="44" spans="1:13" ht="31.95" customHeight="1">
      <c r="A44" s="7" t="s">
        <v>161</v>
      </c>
      <c r="B44" s="7" t="s">
        <v>44</v>
      </c>
      <c r="C44" s="7" t="s">
        <v>45</v>
      </c>
      <c r="D44" s="7" t="s">
        <v>46</v>
      </c>
      <c r="E44" s="8"/>
      <c r="F44" s="8"/>
      <c r="G44" s="7" t="s">
        <v>47</v>
      </c>
      <c r="H44" s="7" t="s">
        <v>162</v>
      </c>
      <c r="I44" s="7" t="s">
        <v>163</v>
      </c>
      <c r="J44" s="7" t="s">
        <v>50</v>
      </c>
      <c r="K44" s="7" t="s">
        <v>51</v>
      </c>
      <c r="L44" s="7" t="s">
        <v>52</v>
      </c>
      <c r="M44" s="7" t="str">
        <f t="shared" si="0"/>
        <v>PENDIENTE</v>
      </c>
    </row>
    <row r="45" spans="1:13" ht="31.95" customHeight="1">
      <c r="A45" s="7" t="s">
        <v>164</v>
      </c>
      <c r="B45" s="7" t="s">
        <v>44</v>
      </c>
      <c r="C45" s="7" t="s">
        <v>45</v>
      </c>
      <c r="D45" s="7" t="s">
        <v>46</v>
      </c>
      <c r="E45" s="8"/>
      <c r="F45" s="8"/>
      <c r="G45" s="7" t="s">
        <v>47</v>
      </c>
      <c r="H45" s="7" t="s">
        <v>165</v>
      </c>
      <c r="I45" s="7" t="s">
        <v>166</v>
      </c>
      <c r="J45" s="7" t="s">
        <v>50</v>
      </c>
      <c r="K45" s="7" t="s">
        <v>51</v>
      </c>
      <c r="L45" s="7" t="s">
        <v>52</v>
      </c>
      <c r="M45" s="7" t="str">
        <f t="shared" si="0"/>
        <v>PENDIENTE</v>
      </c>
    </row>
    <row r="46" spans="1:13" ht="31.95" customHeight="1">
      <c r="A46" s="7" t="s">
        <v>167</v>
      </c>
      <c r="B46" s="7" t="s">
        <v>44</v>
      </c>
      <c r="C46" s="7" t="s">
        <v>45</v>
      </c>
      <c r="D46" s="7" t="s">
        <v>46</v>
      </c>
      <c r="E46" s="8"/>
      <c r="F46" s="8"/>
      <c r="G46" s="7" t="s">
        <v>47</v>
      </c>
      <c r="H46" s="7" t="s">
        <v>168</v>
      </c>
      <c r="I46" s="7" t="s">
        <v>169</v>
      </c>
      <c r="J46" s="7" t="s">
        <v>50</v>
      </c>
      <c r="K46" s="7" t="s">
        <v>51</v>
      </c>
      <c r="L46" s="7" t="s">
        <v>52</v>
      </c>
      <c r="M46" s="7" t="str">
        <f t="shared" si="0"/>
        <v>PENDIENTE</v>
      </c>
    </row>
  </sheetData>
  <mergeCells count="2">
    <mergeCell ref="A1:M1"/>
    <mergeCell ref="A3:M3"/>
  </mergeCells>
  <conditionalFormatting sqref="M7:M46">
    <cfRule type="containsText" dxfId="2" priority="1" operator="containsText" text="PENDIENTE"/>
    <cfRule type="containsText" dxfId="1" priority="2" operator="containsText" text="CONFORME"/>
    <cfRule type="containsText" dxfId="0" priority="3" operator="containsText" text="REVISAR"/>
  </conditionalFormatting>
  <dataValidations count="2">
    <dataValidation type="list" sqref="J7:J46" xr:uid="{00000000-0002-0000-0100-000000000000}">
      <formula1>"Sí,No"</formula1>
    </dataValidation>
    <dataValidation type="list" sqref="K7:K46" xr:uid="{00000000-0002-0000-0100-000001000000}">
      <formula1>"Sí,No,Pendiente"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showGridLines="0" workbookViewId="0">
      <selection activeCell="B9" sqref="B9"/>
    </sheetView>
  </sheetViews>
  <sheetFormatPr baseColWidth="10" defaultColWidth="8.796875" defaultRowHeight="13.8"/>
  <cols>
    <col min="1" max="1" width="21" customWidth="1"/>
    <col min="2" max="2" width="22.09765625" customWidth="1"/>
    <col min="4" max="4" width="46" customWidth="1"/>
  </cols>
  <sheetData>
    <row r="1" spans="1:4" ht="17.399999999999999">
      <c r="A1" s="13" t="s">
        <v>170</v>
      </c>
      <c r="B1" s="13" t="s">
        <v>170</v>
      </c>
      <c r="C1" s="13" t="s">
        <v>170</v>
      </c>
      <c r="D1" s="13" t="s">
        <v>170</v>
      </c>
    </row>
    <row r="3" spans="1:4">
      <c r="A3" s="15" t="s">
        <v>171</v>
      </c>
      <c r="B3" s="15" t="s">
        <v>171</v>
      </c>
      <c r="C3" s="15" t="s">
        <v>171</v>
      </c>
      <c r="D3" s="15" t="s">
        <v>171</v>
      </c>
    </row>
    <row r="5" spans="1:4">
      <c r="A5" s="6" t="s">
        <v>172</v>
      </c>
      <c r="B5" s="6" t="s">
        <v>173</v>
      </c>
      <c r="D5" s="12" t="s">
        <v>174</v>
      </c>
    </row>
    <row r="6" spans="1:4">
      <c r="A6" s="9" t="s">
        <v>175</v>
      </c>
      <c r="B6" s="10">
        <f>COUNT(Mediciones!E7:E46)</f>
        <v>0</v>
      </c>
      <c r="D6" s="5" t="s">
        <v>176</v>
      </c>
    </row>
    <row r="7" spans="1:4">
      <c r="A7" s="9" t="s">
        <v>177</v>
      </c>
      <c r="B7" s="10">
        <f>COUNTIF(Mediciones!M7:M46,"CONFORME")</f>
        <v>0</v>
      </c>
      <c r="D7" s="5" t="s">
        <v>178</v>
      </c>
    </row>
    <row r="8" spans="1:4">
      <c r="A8" s="9" t="s">
        <v>179</v>
      </c>
      <c r="B8" s="10">
        <f>COUNTIF(Mediciones!M7:M46,"REVISAR")</f>
        <v>0</v>
      </c>
      <c r="D8" s="5" t="s">
        <v>180</v>
      </c>
    </row>
    <row r="9" spans="1:4">
      <c r="A9" s="9" t="s">
        <v>181</v>
      </c>
      <c r="B9" s="10">
        <f>COUNTIF(Mediciones!M7:M46,"PENDIENTE")</f>
        <v>40</v>
      </c>
      <c r="D9" s="5" t="s">
        <v>182</v>
      </c>
    </row>
    <row r="10" spans="1:4" ht="26.4">
      <c r="A10" s="9" t="s">
        <v>183</v>
      </c>
      <c r="B10" s="11" t="str">
        <f>IFERROR(AVERAGEIF(Mediciones!M7:M46,"CONFORME",Mediciones!E7:E46),"")</f>
        <v/>
      </c>
      <c r="D10" s="5" t="s">
        <v>184</v>
      </c>
    </row>
    <row r="11" spans="1:4" ht="26.4">
      <c r="A11" s="9" t="s">
        <v>185</v>
      </c>
      <c r="B11" s="11" t="str">
        <f ca="1">IFERROR(_xludf.MAXIFS(Mediciones!E7:E46,Mediciones!M7:M46,"CONFORME"),"")</f>
        <v/>
      </c>
      <c r="D11" s="5" t="s">
        <v>186</v>
      </c>
    </row>
    <row r="12" spans="1:4" ht="26.4">
      <c r="A12" s="9" t="s">
        <v>187</v>
      </c>
      <c r="B12" s="10" t="str">
        <f>IF(B9&gt;0,"NO EMITIR: HAY PENDIENTES",IF(B8&gt;0,"REVISAR HALLAZGOS","LISTO PARA REVISIÓN TÉCNICA"))</f>
        <v>NO EMITIR: HAY PENDIENTES</v>
      </c>
      <c r="D12" s="5" t="s">
        <v>188</v>
      </c>
    </row>
    <row r="13" spans="1:4">
      <c r="D13" s="5" t="s">
        <v>189</v>
      </c>
    </row>
  </sheetData>
  <mergeCells count="2">
    <mergeCell ref="A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Campaña</vt:lpstr>
      <vt:lpstr>Mediciones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Romero Payan</cp:lastModifiedBy>
  <dcterms:modified xsi:type="dcterms:W3CDTF">2026-07-17T16:53:20Z</dcterms:modified>
</cp:coreProperties>
</file>